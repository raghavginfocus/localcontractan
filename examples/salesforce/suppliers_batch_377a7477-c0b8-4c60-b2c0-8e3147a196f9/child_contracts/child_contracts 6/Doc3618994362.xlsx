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MelisaAlejandraDiTul\Box\$User\Salesforce\SELA CW3099974\"/>
    </mc:Choice>
  </mc:AlternateContent>
  <xr:revisionPtr revIDLastSave="0" documentId="13_ncr:1_{2B0B24C3-E8C5-45B1-9C13-A56D8BB9F8C3}" xr6:coauthVersionLast="47" xr6:coauthVersionMax="47" xr10:uidLastSave="{00000000-0000-0000-0000-000000000000}"/>
  <bookViews>
    <workbookView xWindow="-110" yWindow="-110" windowWidth="19420" windowHeight="10300" activeTab="1" xr2:uid="{7404F94D-719D-4CC9-8AC9-9D7CD71D504E}"/>
  </bookViews>
  <sheets>
    <sheet name="Sheet1" sheetId="1" r:id="rId1"/>
    <sheet name="Carm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2" l="1"/>
  <c r="D20" i="2"/>
  <c r="C20" i="2"/>
</calcChain>
</file>

<file path=xl/sharedStrings.xml><?xml version="1.0" encoding="utf-8"?>
<sst xmlns="http://schemas.openxmlformats.org/spreadsheetml/2006/main" count="145" uniqueCount="121">
  <si>
    <t>SFDC Order Form</t>
  </si>
  <si>
    <t>Spend</t>
  </si>
  <si>
    <t>Signature date</t>
  </si>
  <si>
    <t>PO</t>
  </si>
  <si>
    <t>Notes</t>
  </si>
  <si>
    <t>Q-04759764</t>
  </si>
  <si>
    <t>10 Analytics - 5 Additional Dynamic Dashboards subscriptions, requested by Geoff Marinski</t>
  </si>
  <si>
    <t>Q-04787277</t>
  </si>
  <si>
    <t>N/A</t>
  </si>
  <si>
    <t xml:space="preserve">Courtesy licenses - High volume platform events. Pierre Rust might be able to fill in any other details, but Watson Health is moving sales data into CEPD. Currently the way ISC is doing this is through our tool Platform Events. Right now Pierre is restricted based on the volume contracted for Watson Health so we are giving him 30 days to understand the flows needed and metrics for a move forward strategy. 
This courtesy order will provide Pierre with an additional 100k platform events for 30 days. </t>
  </si>
  <si>
    <t>Q-04801678</t>
  </si>
  <si>
    <t>Q-04796957</t>
  </si>
  <si>
    <t>Expertise hours - Special terms approved by Nabeel Nawaz, Leader, Salesforce PRM. CIO</t>
  </si>
  <si>
    <t>Q-04846489</t>
  </si>
  <si>
    <t>License Swap - approved by Eric Cannady</t>
  </si>
  <si>
    <t>Q-04753203</t>
  </si>
  <si>
    <t>Scratch Org - courtesy licenses</t>
  </si>
  <si>
    <t>Q-04621059</t>
  </si>
  <si>
    <t>Community Customer courtesy licenses</t>
  </si>
  <si>
    <t>Tableay CMR licenses - Special terms approved byEric Canaddy</t>
  </si>
  <si>
    <t>Q-05037634</t>
  </si>
  <si>
    <t>Additional Expertise hours. Added second line item to existing PO 4700317719.</t>
  </si>
  <si>
    <t>Q-05152404</t>
  </si>
  <si>
    <t xml:space="preserve">Salesforce Inbox - needed to eval product. Not approved outside evaluation. </t>
  </si>
  <si>
    <r>
      <rPr>
        <b/>
        <sz val="11"/>
        <color theme="1"/>
        <rFont val="Calibri"/>
        <family val="2"/>
        <scheme val="minor"/>
      </rPr>
      <t xml:space="preserve">2021 </t>
    </r>
    <r>
      <rPr>
        <sz val="11"/>
        <color theme="1"/>
        <rFont val="Calibri"/>
        <family val="2"/>
        <scheme val="minor"/>
      </rPr>
      <t xml:space="preserve">- Since new contract owner (Melisa Di Tullio) started handling </t>
    </r>
  </si>
  <si>
    <t>Q-05315833</t>
  </si>
  <si>
    <t>Sandbox (partial copy)</t>
  </si>
  <si>
    <t>Q-05389737</t>
  </si>
  <si>
    <t>It will take time for IBM to transition from Partner member licenses to Partner login licenses (purchased through Q-05310075 ). In order to help IBM through this transition, Salesforce will courtesy the 50K member licenses for 30 days. This will allow IBM the month of February to complete the transition.</t>
  </si>
  <si>
    <t>Q-05310075</t>
  </si>
  <si>
    <t xml:space="preserve">See folder "2021" in the SELA record with all order forms and supporting docs. </t>
  </si>
  <si>
    <r>
      <t xml:space="preserve">Incremental licenses in support of IBM Sales and CRM organizations. DPA approval for go-forward value by Nancy Mc Guire; CP107 approval by Bob Murphy &amp; Chris Sinclair; Joanna Dapkevich approved on behalf of the Business - PO reviewed and updated per Tax (Jowita's guidance). </t>
    </r>
    <r>
      <rPr>
        <sz val="11"/>
        <color rgb="FF0070C0"/>
        <rFont val="Calibri"/>
        <family val="2"/>
        <scheme val="minor"/>
      </rPr>
      <t xml:space="preserve">See folder "Q-05310075" in SELA record with all documentation. </t>
    </r>
  </si>
  <si>
    <t>Q-05422314</t>
  </si>
  <si>
    <t xml:space="preserve">CPQ Licenses for Watson Health (Kevin Biser) - Handled by Valerie Lecker. PO has wrong SSFV code, Valerie refused to change that. She said to have a waiver from Terry (Miller?) to do that. </t>
  </si>
  <si>
    <t>One Sandbox full copy for Watson Health - handled by Valerie Lecker</t>
  </si>
  <si>
    <t>Q-05650008</t>
  </si>
  <si>
    <t>7 Summits (acquired company) renewal</t>
  </si>
  <si>
    <t>Q-05596688</t>
  </si>
  <si>
    <t>Q-05745899</t>
  </si>
  <si>
    <t xml:space="preserve">Two additional Survey Packs - requested by Eric Cannedy. </t>
  </si>
  <si>
    <t>Scratch Org courtesy licenses for 3 months. Requester: Muhammad Bilal Khawar. From him "ACR is AccountToContact Relation feature that by default doesn't get activated in few of the scratchOrgs when we spin them up while in few of them it gets activated. When we reported it SF took long time to reproduce it however, they acknowledged in the end, it's an issue and it has been there I guess almost a year now."</t>
  </si>
  <si>
    <t>Q-5935823</t>
  </si>
  <si>
    <t>Quote #</t>
  </si>
  <si>
    <t>Business unit</t>
  </si>
  <si>
    <t>2019 Volume</t>
  </si>
  <si>
    <t>2019 spend</t>
  </si>
  <si>
    <t>Salesforce proposal
Volume</t>
  </si>
  <si>
    <t xml:space="preserve">Total Price </t>
  </si>
  <si>
    <t xml:space="preserve">IBM primary contact </t>
  </si>
  <si>
    <t xml:space="preserve">IBM PO # </t>
  </si>
  <si>
    <t>Q-03317256</t>
  </si>
  <si>
    <t>Project Merlin</t>
  </si>
  <si>
    <t xml:space="preserve">23530 total lightning:  20530 Service Cloud; 865 Lightning Field Service Dispatcher; 2135 Lightning Field Service Technician; 5416667 Customer Community Logins; 1 Change Data Capture; 1000 Einstein Analytics; 60 High Volume Platform Events; 1 Technical Account Manager; </t>
  </si>
  <si>
    <t>Bob McDonald</t>
  </si>
  <si>
    <t>Q-03320892</t>
  </si>
  <si>
    <t>Project Gaia</t>
  </si>
  <si>
    <t xml:space="preserve">540 Sales Cloud; 20 Partner Community Members; 6000 Partner Community Logins; 100 Einstein Analytics; 4 Additional Dynamic Dashboards </t>
  </si>
  <si>
    <t>Danny Barnett</t>
  </si>
  <si>
    <t>Q-02501951</t>
  </si>
  <si>
    <t xml:space="preserve">535 Sales Cloud; 250 Partner Community Members </t>
  </si>
  <si>
    <t>Q-03322097</t>
  </si>
  <si>
    <t>1 Service Cloud; 400 Customer Community Members; Data Storage 10 GB;</t>
  </si>
  <si>
    <t>Q-03322095</t>
  </si>
  <si>
    <t>1 Service Cloud; 2000 Customer Community Logins; 50 Partner Community Members</t>
  </si>
  <si>
    <t>Q-03136120</t>
  </si>
  <si>
    <t>IBM Security (Trusteer- acquisition)</t>
  </si>
  <si>
    <t>265 Service Cloud; 5 Partner Community Members; 2000 Customer Community Logins</t>
  </si>
  <si>
    <t>Gil Perzy/Haifa/IBM</t>
  </si>
  <si>
    <t>Q-03136344</t>
  </si>
  <si>
    <t>Watson Health main org (Truven- acquisition)</t>
  </si>
  <si>
    <t>650 Sales Cloud; 925 Service; 75 Partner Portal; 700 Customer Portal; 4000 Customer Community Logins</t>
  </si>
  <si>
    <t xml:space="preserve">Pierre Rust </t>
  </si>
  <si>
    <t>Q-03155830</t>
  </si>
  <si>
    <t>Watson Health (Second org: Raven)</t>
  </si>
  <si>
    <t>275 Service Cloud; 14000 Customer Community Logins; 100 Customer Community Members</t>
  </si>
  <si>
    <t>Pierre Rust</t>
  </si>
  <si>
    <t>Q-03165583</t>
  </si>
  <si>
    <t>IBM Cognitive Applications (Silverpop divestiture)</t>
  </si>
  <si>
    <t>23 Service Cloud; 348 Sales Cloud; 200 Chatter Plus; 24 Partner Portal</t>
  </si>
  <si>
    <t>Richard Hoffman</t>
  </si>
  <si>
    <t>Q-03153024</t>
  </si>
  <si>
    <t>Watson Health Imaging (former Merge Healthcare) Main instance</t>
  </si>
  <si>
    <t>860 Sales &amp; Service Cloud; 1 Data Storage (10GB); 440 Customer Community Plus Members; 1 Partner Community Members; 5000 Customer Community Logins; 170 CPQ plus</t>
  </si>
  <si>
    <t>Matthew Sippel</t>
  </si>
  <si>
    <t>Q-03137446</t>
  </si>
  <si>
    <r>
      <t xml:space="preserve">Watson Health Imaging (former Merge Healthcare) secondary </t>
    </r>
    <r>
      <rPr>
        <b/>
        <sz val="10"/>
        <color theme="1"/>
        <rFont val="Calibri Light"/>
        <family val="2"/>
        <scheme val="major"/>
      </rPr>
      <t>instance</t>
    </r>
  </si>
  <si>
    <t>33 Sales Cloud</t>
  </si>
  <si>
    <t xml:space="preserve">4700183781
</t>
  </si>
  <si>
    <t>Q-03322636</t>
  </si>
  <si>
    <t>Watson Media (The Weather Channel) Main instance</t>
  </si>
  <si>
    <t>260 Sales &amp; Service Cloud; 10 knowledge only; 1000 Partner Community Members; 200 Quip; 1 Einstein; 1 Connect</t>
  </si>
  <si>
    <t>Michael Peeler</t>
  </si>
  <si>
    <t>Q-03137060</t>
  </si>
  <si>
    <t>Watson Media (WSI)</t>
  </si>
  <si>
    <t>277 Sales Cloud; 50 Service Cloud; 100000 Customer Community Logins</t>
  </si>
  <si>
    <t>Q-03136303</t>
  </si>
  <si>
    <t>IBM Cloud and Cognitive (Aspera acquisition)</t>
  </si>
  <si>
    <t>10 Sales Cloud; 3 CPQ plus; 10 Einstein Analytics</t>
  </si>
  <si>
    <t>Leif Klokkevold</t>
  </si>
  <si>
    <t xml:space="preserve"> Q-03152914</t>
  </si>
  <si>
    <t>GBS (Bluewolf)</t>
  </si>
  <si>
    <t>800 Service Cloud Performance; 1200 Force.com; 50 Einstein Analytics; 50 Quip; 1 Appex Debugger</t>
  </si>
  <si>
    <t>Niyati Desai</t>
  </si>
  <si>
    <t>Q-03137535</t>
  </si>
  <si>
    <t>IBM Cloud and Cognitive (Clevesafe - acquisition)</t>
  </si>
  <si>
    <t xml:space="preserve">20 Service Cloud; 400 Customer Community Members </t>
  </si>
  <si>
    <t>Nick Lopez</t>
  </si>
  <si>
    <t>Q-03155788</t>
  </si>
  <si>
    <t>Fiberlink</t>
  </si>
  <si>
    <t>1 Sales Cloud; 1 Additional Dynamic Dashboards; 2000 Customer Community Logins; 3 Data Storage (10GB); 40 Employee Apps and Community Only; 2 Force.com</t>
  </si>
  <si>
    <t>Q-03155158</t>
  </si>
  <si>
    <t>Resilient</t>
  </si>
  <si>
    <t xml:space="preserve">129 Sales Cloud; </t>
  </si>
  <si>
    <t>Q-03155690</t>
  </si>
  <si>
    <t>35K licenses renewal</t>
  </si>
  <si>
    <t>Q-03214727</t>
  </si>
  <si>
    <t>TWC</t>
  </si>
  <si>
    <t>Datorama products</t>
  </si>
  <si>
    <t>Bluewolf</t>
  </si>
  <si>
    <t>Megan Pollock</t>
  </si>
  <si>
    <t>Certification vouchers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</si>
</sst>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0" x14ac:knownFonts="1">
    <font>
      <sz val="11"/>
      <color theme="1"/>
      <name val="Calibri"/>
      <family val="2"/>
      <scheme val="minor"/>
    </font>
    <font>
      <b/>
      <sz val="11"/>
      <color theme="1"/>
      <name val="Calibri"/>
      <family val="2"/>
      <scheme val="minor"/>
    </font>
    <font>
      <sz val="11"/>
      <color rgb="FF0070C0"/>
      <name val="Calibri"/>
      <family val="2"/>
      <scheme val="minor"/>
    </font>
    <font>
      <sz val="11"/>
      <color rgb="FFFF0000"/>
      <name val="Calibri"/>
      <family val="2"/>
      <scheme val="minor"/>
    </font>
    <font>
      <sz val="11"/>
      <color theme="1"/>
      <name val="Calibri"/>
      <family val="2"/>
      <scheme val="minor"/>
    </font>
    <font>
      <u/>
      <sz val="11"/>
      <color theme="10"/>
      <name val="Calibri"/>
      <family val="2"/>
      <scheme val="minor"/>
    </font>
    <font>
      <b/>
      <sz val="10"/>
      <color theme="0"/>
      <name val="Calibri Light"/>
      <family val="2"/>
      <scheme val="major"/>
    </font>
    <font>
      <sz val="10"/>
      <color theme="1"/>
      <name val="Calibri Light"/>
      <family val="2"/>
      <scheme val="major"/>
    </font>
    <font>
      <u/>
      <sz val="10"/>
      <color theme="10"/>
      <name val="Calibri Light"/>
      <family val="2"/>
      <scheme val="major"/>
    </font>
    <font>
      <b/>
      <sz val="10"/>
      <color theme="1"/>
      <name val="Calibri Light"/>
      <family val="2"/>
      <scheme val="maj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4" fillId="0" borderId="0" applyFont="0" applyFill="0" applyBorder="0" applyAlignment="0" applyProtection="0"/>
    <xf numFmtId="0" fontId="5" fillId="0" borderId="0" applyNumberFormat="0" applyFill="0" applyBorder="0" applyAlignment="0" applyProtection="0"/>
  </cellStyleXfs>
  <cellXfs count="45">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0" fillId="0" borderId="0" xfId="0" applyFont="1" applyFill="1" applyAlignment="1">
      <alignment horizontal="left" vertical="top"/>
    </xf>
    <xf numFmtId="0" fontId="0" fillId="0" borderId="0" xfId="0" applyAlignment="1">
      <alignment vertical="top"/>
    </xf>
    <xf numFmtId="0" fontId="0" fillId="3" borderId="0" xfId="0" applyFill="1" applyAlignment="1">
      <alignment horizontal="left" vertical="top"/>
    </xf>
    <xf numFmtId="0" fontId="1" fillId="3" borderId="0" xfId="0" applyFont="1" applyFill="1" applyAlignment="1">
      <alignment horizontal="left" vertical="top"/>
    </xf>
    <xf numFmtId="0" fontId="0" fillId="3" borderId="0" xfId="0" applyFill="1" applyAlignment="1">
      <alignment vertical="top"/>
    </xf>
    <xf numFmtId="0" fontId="0" fillId="0" borderId="0" xfId="0" applyAlignment="1">
      <alignment horizontal="right" vertical="top"/>
    </xf>
    <xf numFmtId="0" fontId="0" fillId="3" borderId="0" xfId="0" applyFill="1" applyAlignment="1">
      <alignment horizontal="right" vertical="top"/>
    </xf>
    <xf numFmtId="0" fontId="1" fillId="2" borderId="0" xfId="0" applyFont="1" applyFill="1" applyAlignment="1">
      <alignment horizontal="right" vertical="top"/>
    </xf>
    <xf numFmtId="6" fontId="0" fillId="0" borderId="0" xfId="0" applyNumberFormat="1" applyFont="1" applyFill="1" applyAlignment="1">
      <alignment horizontal="right" vertical="top"/>
    </xf>
    <xf numFmtId="8" fontId="0" fillId="0" borderId="0" xfId="0" applyNumberFormat="1" applyAlignment="1">
      <alignment horizontal="right" vertical="top"/>
    </xf>
    <xf numFmtId="6" fontId="0" fillId="0" borderId="0" xfId="0" applyNumberFormat="1" applyAlignment="1">
      <alignment horizontal="right" vertical="top"/>
    </xf>
    <xf numFmtId="6" fontId="0" fillId="3" borderId="0" xfId="0" applyNumberFormat="1" applyFill="1" applyAlignment="1">
      <alignment horizontal="right" vertical="top"/>
    </xf>
    <xf numFmtId="0" fontId="0" fillId="0" borderId="0" xfId="0" applyAlignment="1">
      <alignment horizontal="right"/>
    </xf>
    <xf numFmtId="0" fontId="0" fillId="0" borderId="0" xfId="0" applyAlignment="1">
      <alignment horizontal="center" vertical="top"/>
    </xf>
    <xf numFmtId="0" fontId="0" fillId="3" borderId="0" xfId="0" applyFill="1" applyAlignment="1">
      <alignment horizontal="center" vertical="top"/>
    </xf>
    <xf numFmtId="0" fontId="1" fillId="2" borderId="0" xfId="0" applyFont="1" applyFill="1" applyAlignment="1">
      <alignment horizontal="center" vertical="top"/>
    </xf>
    <xf numFmtId="0" fontId="0" fillId="0" borderId="0" xfId="0" applyFont="1" applyFill="1" applyAlignment="1">
      <alignment horizontal="center" vertical="top"/>
    </xf>
    <xf numFmtId="0" fontId="0" fillId="0" borderId="0" xfId="0" applyAlignment="1">
      <alignment horizontal="center"/>
    </xf>
    <xf numFmtId="14" fontId="0" fillId="0" borderId="0" xfId="0" applyNumberFormat="1" applyFont="1" applyFill="1" applyAlignment="1">
      <alignment horizontal="right" vertical="top"/>
    </xf>
    <xf numFmtId="14" fontId="0" fillId="0" borderId="0" xfId="0" applyNumberFormat="1" applyAlignment="1">
      <alignment horizontal="right" vertical="top"/>
    </xf>
    <xf numFmtId="14" fontId="0" fillId="3" borderId="0" xfId="0" applyNumberFormat="1" applyFill="1" applyAlignment="1">
      <alignment horizontal="right" vertical="top"/>
    </xf>
    <xf numFmtId="0" fontId="2" fillId="0" borderId="0" xfId="0" applyFont="1" applyAlignment="1">
      <alignment vertical="top"/>
    </xf>
    <xf numFmtId="0" fontId="3" fillId="0" borderId="0" xfId="0" applyFont="1" applyAlignment="1">
      <alignment horizontal="left" vertical="top" wrapText="1"/>
    </xf>
    <xf numFmtId="8" fontId="0" fillId="0" borderId="0" xfId="0" applyNumberFormat="1" applyAlignment="1">
      <alignment horizontal="right"/>
    </xf>
    <xf numFmtId="14" fontId="0" fillId="0" borderId="0" xfId="0" applyNumberFormat="1" applyAlignment="1">
      <alignment horizontal="right"/>
    </xf>
    <xf numFmtId="0" fontId="3" fillId="0" borderId="0" xfId="0" applyFont="1"/>
    <xf numFmtId="0" fontId="6" fillId="4" borderId="1" xfId="0" applyFont="1" applyFill="1" applyBorder="1" applyAlignment="1">
      <alignment wrapText="1"/>
    </xf>
    <xf numFmtId="44" fontId="6" fillId="4" borderId="1" xfId="1" applyFont="1" applyFill="1" applyBorder="1" applyAlignment="1">
      <alignment wrapText="1"/>
    </xf>
    <xf numFmtId="0" fontId="6" fillId="4" borderId="1" xfId="0" applyFont="1" applyFill="1" applyBorder="1"/>
    <xf numFmtId="0" fontId="7" fillId="0" borderId="1" xfId="0" applyFont="1" applyBorder="1"/>
    <xf numFmtId="0" fontId="7" fillId="5" borderId="1" xfId="0" applyFont="1" applyFill="1" applyBorder="1" applyAlignment="1">
      <alignment wrapText="1"/>
    </xf>
    <xf numFmtId="44" fontId="7" fillId="5" borderId="1" xfId="1" applyFont="1" applyFill="1" applyBorder="1" applyAlignment="1">
      <alignment wrapText="1"/>
    </xf>
    <xf numFmtId="1" fontId="7" fillId="5" borderId="1" xfId="1" applyNumberFormat="1" applyFont="1" applyFill="1" applyBorder="1" applyAlignment="1">
      <alignment wrapText="1"/>
    </xf>
    <xf numFmtId="0" fontId="7" fillId="5" borderId="1" xfId="0" applyFont="1" applyFill="1" applyBorder="1"/>
    <xf numFmtId="0" fontId="8" fillId="5" borderId="1" xfId="2" applyFont="1" applyFill="1" applyBorder="1"/>
    <xf numFmtId="0" fontId="7" fillId="5" borderId="1" xfId="0" applyFont="1" applyFill="1" applyBorder="1" applyAlignment="1">
      <alignment horizontal="right" wrapText="1"/>
    </xf>
    <xf numFmtId="0" fontId="7" fillId="0" borderId="0" xfId="0" applyFont="1" applyAlignment="1">
      <alignment horizontal="left"/>
    </xf>
    <xf numFmtId="0" fontId="7" fillId="5" borderId="0" xfId="0" applyFont="1" applyFill="1" applyAlignment="1">
      <alignment wrapText="1"/>
    </xf>
    <xf numFmtId="44" fontId="7" fillId="5" borderId="0" xfId="1" applyFont="1" applyFill="1" applyBorder="1" applyAlignment="1">
      <alignment wrapText="1"/>
    </xf>
    <xf numFmtId="0" fontId="7" fillId="5" borderId="0" xfId="0" applyFont="1" applyFill="1"/>
    <xf numFmtId="44" fontId="0" fillId="0" borderId="0" xfId="1" applyFont="1"/>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gilper@il.ib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60E8-94F7-401F-B119-9B97C12A2109}">
  <dimension ref="A1:E23"/>
  <sheetViews>
    <sheetView workbookViewId="0">
      <selection activeCell="E23" sqref="E23"/>
    </sheetView>
  </sheetViews>
  <sheetFormatPr defaultRowHeight="14.5" x14ac:dyDescent="0.35"/>
  <cols>
    <col min="1" max="1" width="15.1796875" style="5" customWidth="1"/>
    <col min="2" max="2" width="12.90625" style="16" customWidth="1"/>
    <col min="3" max="3" width="16.1796875" style="16" customWidth="1"/>
    <col min="4" max="4" width="15.453125" style="21" customWidth="1"/>
    <col min="5" max="5" width="77.26953125" customWidth="1"/>
  </cols>
  <sheetData>
    <row r="1" spans="1:5" x14ac:dyDescent="0.35">
      <c r="B1" s="9"/>
      <c r="C1" s="9"/>
      <c r="D1" s="17"/>
      <c r="E1" s="1"/>
    </row>
    <row r="2" spans="1:5" x14ac:dyDescent="0.35">
      <c r="A2" s="8" t="s">
        <v>24</v>
      </c>
      <c r="B2" s="10"/>
      <c r="C2" s="10"/>
      <c r="D2" s="18"/>
      <c r="E2" s="6"/>
    </row>
    <row r="3" spans="1:5" s="1" customFormat="1" x14ac:dyDescent="0.35">
      <c r="A3" s="3" t="s">
        <v>0</v>
      </c>
      <c r="B3" s="11" t="s">
        <v>2</v>
      </c>
      <c r="C3" s="11" t="s">
        <v>1</v>
      </c>
      <c r="D3" s="19" t="s">
        <v>3</v>
      </c>
      <c r="E3" s="3" t="s">
        <v>4</v>
      </c>
    </row>
    <row r="4" spans="1:5" s="4" customFormat="1" x14ac:dyDescent="0.35">
      <c r="A4" s="4" t="s">
        <v>17</v>
      </c>
      <c r="B4" s="22">
        <v>44384</v>
      </c>
      <c r="C4" s="12">
        <v>0</v>
      </c>
      <c r="D4" s="20" t="s">
        <v>8</v>
      </c>
      <c r="E4" s="4" t="s">
        <v>18</v>
      </c>
    </row>
    <row r="5" spans="1:5" s="4" customFormat="1" x14ac:dyDescent="0.35">
      <c r="A5" s="4" t="s">
        <v>15</v>
      </c>
      <c r="B5" s="22">
        <v>44389</v>
      </c>
      <c r="C5" s="12">
        <v>0</v>
      </c>
      <c r="D5" s="20" t="s">
        <v>8</v>
      </c>
      <c r="E5" s="4" t="s">
        <v>16</v>
      </c>
    </row>
    <row r="6" spans="1:5" s="1" customFormat="1" x14ac:dyDescent="0.35">
      <c r="A6" s="1" t="s">
        <v>5</v>
      </c>
      <c r="B6" s="23">
        <v>44392</v>
      </c>
      <c r="C6" s="13">
        <v>30913.58</v>
      </c>
      <c r="D6" s="17">
        <v>4700371003</v>
      </c>
      <c r="E6" s="1" t="s">
        <v>6</v>
      </c>
    </row>
    <row r="7" spans="1:5" s="1" customFormat="1" ht="100.5" customHeight="1" x14ac:dyDescent="0.35">
      <c r="A7" s="1" t="s">
        <v>7</v>
      </c>
      <c r="B7" s="23">
        <v>44396</v>
      </c>
      <c r="C7" s="14">
        <v>0</v>
      </c>
      <c r="D7" s="17" t="s">
        <v>8</v>
      </c>
      <c r="E7" s="2" t="s">
        <v>9</v>
      </c>
    </row>
    <row r="8" spans="1:5" s="1" customFormat="1" x14ac:dyDescent="0.35">
      <c r="A8" s="1" t="s">
        <v>10</v>
      </c>
      <c r="B8" s="23">
        <v>44399</v>
      </c>
      <c r="C8" s="14">
        <v>0</v>
      </c>
      <c r="D8" s="17" t="s">
        <v>8</v>
      </c>
      <c r="E8" s="1" t="s">
        <v>19</v>
      </c>
    </row>
    <row r="9" spans="1:5" s="1" customFormat="1" x14ac:dyDescent="0.35">
      <c r="A9" s="1" t="s">
        <v>11</v>
      </c>
      <c r="B9" s="23">
        <v>44411</v>
      </c>
      <c r="C9" s="13">
        <v>125280</v>
      </c>
      <c r="D9" s="17">
        <v>4700378683</v>
      </c>
      <c r="E9" s="1" t="s">
        <v>12</v>
      </c>
    </row>
    <row r="10" spans="1:5" s="1" customFormat="1" x14ac:dyDescent="0.35">
      <c r="A10" s="1" t="s">
        <v>13</v>
      </c>
      <c r="B10" s="23">
        <v>44413</v>
      </c>
      <c r="C10" s="14">
        <v>0</v>
      </c>
      <c r="D10" s="17" t="s">
        <v>8</v>
      </c>
      <c r="E10" s="1" t="s">
        <v>14</v>
      </c>
    </row>
    <row r="11" spans="1:5" s="1" customFormat="1" x14ac:dyDescent="0.35">
      <c r="A11" s="1" t="s">
        <v>20</v>
      </c>
      <c r="B11" s="23">
        <v>44498</v>
      </c>
      <c r="C11" s="13">
        <v>259200</v>
      </c>
      <c r="D11" s="17">
        <v>4700317719</v>
      </c>
      <c r="E11" s="1" t="s">
        <v>21</v>
      </c>
    </row>
    <row r="12" spans="1:5" x14ac:dyDescent="0.35">
      <c r="A12" s="5" t="s">
        <v>22</v>
      </c>
      <c r="B12" s="23">
        <v>44905</v>
      </c>
      <c r="C12" s="14">
        <v>0</v>
      </c>
      <c r="D12" s="17" t="s">
        <v>8</v>
      </c>
      <c r="E12" s="1" t="s">
        <v>23</v>
      </c>
    </row>
    <row r="13" spans="1:5" x14ac:dyDescent="0.35">
      <c r="A13" s="25" t="s">
        <v>30</v>
      </c>
      <c r="B13" s="23"/>
      <c r="C13" s="14"/>
      <c r="D13" s="17"/>
      <c r="E13" s="1"/>
    </row>
    <row r="14" spans="1:5" x14ac:dyDescent="0.35">
      <c r="A14" s="7">
        <v>2022</v>
      </c>
      <c r="B14" s="24"/>
      <c r="C14" s="15"/>
      <c r="D14" s="18"/>
      <c r="E14" s="6"/>
    </row>
    <row r="15" spans="1:5" x14ac:dyDescent="0.35">
      <c r="A15" s="3" t="s">
        <v>0</v>
      </c>
      <c r="B15" s="11" t="s">
        <v>2</v>
      </c>
      <c r="C15" s="11" t="s">
        <v>1</v>
      </c>
      <c r="D15" s="19" t="s">
        <v>3</v>
      </c>
      <c r="E15" s="3" t="s">
        <v>4</v>
      </c>
    </row>
    <row r="16" spans="1:5" x14ac:dyDescent="0.35">
      <c r="A16" s="5" t="s">
        <v>25</v>
      </c>
      <c r="B16" s="23">
        <v>44579</v>
      </c>
      <c r="C16" s="14">
        <v>0</v>
      </c>
      <c r="D16" s="17" t="s">
        <v>8</v>
      </c>
      <c r="E16" s="1" t="s">
        <v>26</v>
      </c>
    </row>
    <row r="17" spans="1:5" ht="58" x14ac:dyDescent="0.35">
      <c r="A17" s="5" t="s">
        <v>27</v>
      </c>
      <c r="B17" s="23">
        <v>44593</v>
      </c>
      <c r="C17" s="14">
        <v>0</v>
      </c>
      <c r="D17" s="17" t="s">
        <v>8</v>
      </c>
      <c r="E17" s="2" t="s">
        <v>28</v>
      </c>
    </row>
    <row r="18" spans="1:5" ht="43.5" x14ac:dyDescent="0.35">
      <c r="A18" s="5" t="s">
        <v>32</v>
      </c>
      <c r="B18" s="23">
        <v>44614</v>
      </c>
      <c r="C18" s="14">
        <v>1775597.25</v>
      </c>
      <c r="D18" s="17">
        <v>4700496421</v>
      </c>
      <c r="E18" s="26" t="s">
        <v>33</v>
      </c>
    </row>
    <row r="19" spans="1:5" s="5" customFormat="1" ht="58" x14ac:dyDescent="0.35">
      <c r="A19" s="5" t="s">
        <v>29</v>
      </c>
      <c r="B19" s="23">
        <v>44619</v>
      </c>
      <c r="C19" s="13">
        <v>31725000</v>
      </c>
      <c r="D19" s="17">
        <v>4700484978</v>
      </c>
      <c r="E19" s="2" t="s">
        <v>31</v>
      </c>
    </row>
    <row r="20" spans="1:5" x14ac:dyDescent="0.35">
      <c r="A20" s="5" t="s">
        <v>37</v>
      </c>
      <c r="B20" s="28">
        <v>44665</v>
      </c>
      <c r="C20" s="27">
        <v>20239.98</v>
      </c>
      <c r="D20" s="21">
        <v>4700523167</v>
      </c>
      <c r="E20" s="29" t="s">
        <v>34</v>
      </c>
    </row>
    <row r="21" spans="1:5" x14ac:dyDescent="0.35">
      <c r="A21" s="5" t="s">
        <v>35</v>
      </c>
      <c r="B21" s="28">
        <v>44680</v>
      </c>
      <c r="C21" s="27">
        <v>1109753.48</v>
      </c>
      <c r="D21" s="21">
        <v>4700531974</v>
      </c>
      <c r="E21" t="s">
        <v>36</v>
      </c>
    </row>
    <row r="22" spans="1:5" x14ac:dyDescent="0.35">
      <c r="A22" s="5" t="s">
        <v>38</v>
      </c>
      <c r="B22" s="28">
        <v>44704</v>
      </c>
      <c r="C22" s="27">
        <v>1764</v>
      </c>
      <c r="D22" s="21">
        <v>4700543675</v>
      </c>
      <c r="E22" t="s">
        <v>39</v>
      </c>
    </row>
    <row r="23" spans="1:5" ht="72.5" x14ac:dyDescent="0.35">
      <c r="A23" s="5" t="s">
        <v>41</v>
      </c>
      <c r="B23" s="23">
        <v>44734</v>
      </c>
      <c r="C23" s="14">
        <v>0</v>
      </c>
      <c r="D23" s="17" t="s">
        <v>8</v>
      </c>
      <c r="E23" s="2" t="s">
        <v>40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5A714-ACBB-45F0-A41D-DCE16097F15D}">
  <dimension ref="A1:I24"/>
  <sheetViews>
    <sheetView tabSelected="1" workbookViewId="0">
      <selection activeCell="D5" sqref="D5"/>
    </sheetView>
  </sheetViews>
  <sheetFormatPr defaultRowHeight="14.5" x14ac:dyDescent="0.35"/>
  <cols>
    <col min="1" max="1" width="23.81640625" customWidth="1"/>
    <col min="2" max="2" width="17.08984375" customWidth="1"/>
    <col min="3" max="3" width="20.7265625" customWidth="1"/>
    <col min="4" max="4" width="18.81640625" customWidth="1"/>
    <col min="5" max="5" width="41.26953125" customWidth="1"/>
    <col min="6" max="6" width="24.7265625" customWidth="1"/>
  </cols>
  <sheetData>
    <row r="1" spans="1:8" ht="26.5" x14ac:dyDescent="0.35">
      <c r="A1" s="30" t="s">
        <v>42</v>
      </c>
      <c r="B1" s="30" t="s">
        <v>43</v>
      </c>
      <c r="C1" s="30" t="s">
        <v>44</v>
      </c>
      <c r="D1" s="31" t="s">
        <v>45</v>
      </c>
      <c r="E1" s="30" t="s">
        <v>46</v>
      </c>
      <c r="F1" s="31" t="s">
        <v>47</v>
      </c>
      <c r="G1" s="32" t="s">
        <v>48</v>
      </c>
      <c r="H1" s="30" t="s">
        <v>49</v>
      </c>
    </row>
    <row r="2" spans="1:8" ht="94" customHeight="1" x14ac:dyDescent="0.35">
      <c r="A2" s="33" t="s">
        <v>50</v>
      </c>
      <c r="B2" s="34" t="s">
        <v>51</v>
      </c>
      <c r="C2" s="34">
        <v>20000</v>
      </c>
      <c r="D2" s="35">
        <v>21611261</v>
      </c>
      <c r="E2" s="36" t="s">
        <v>52</v>
      </c>
      <c r="F2" s="35">
        <v>29555434</v>
      </c>
      <c r="G2" s="34" t="s">
        <v>53</v>
      </c>
      <c r="H2" s="37">
        <v>4700183678</v>
      </c>
    </row>
    <row r="3" spans="1:8" ht="91.5" x14ac:dyDescent="0.35">
      <c r="A3" s="33" t="s">
        <v>54</v>
      </c>
      <c r="B3" s="34" t="s">
        <v>55</v>
      </c>
      <c r="C3" s="34">
        <v>6965</v>
      </c>
      <c r="D3" s="35">
        <v>8223332</v>
      </c>
      <c r="E3" s="36" t="s">
        <v>56</v>
      </c>
      <c r="F3" s="35">
        <v>3214698</v>
      </c>
      <c r="G3" s="37" t="s">
        <v>57</v>
      </c>
      <c r="H3" s="34">
        <v>4700183587</v>
      </c>
    </row>
    <row r="4" spans="1:8" ht="39.5" x14ac:dyDescent="0.35">
      <c r="A4" s="33" t="s">
        <v>58</v>
      </c>
      <c r="B4" s="34" t="s">
        <v>55</v>
      </c>
      <c r="C4" s="34"/>
      <c r="D4" s="35"/>
      <c r="E4" s="36" t="s">
        <v>59</v>
      </c>
      <c r="F4" s="35">
        <v>724729.2</v>
      </c>
      <c r="G4" s="37" t="s">
        <v>57</v>
      </c>
      <c r="H4" s="37">
        <v>4700183585</v>
      </c>
    </row>
    <row r="5" spans="1:8" ht="52.5" x14ac:dyDescent="0.35">
      <c r="A5" s="33" t="s">
        <v>60</v>
      </c>
      <c r="B5" s="34" t="s">
        <v>55</v>
      </c>
      <c r="C5" s="34"/>
      <c r="D5" s="35"/>
      <c r="E5" s="36" t="s">
        <v>61</v>
      </c>
      <c r="F5" s="35">
        <v>33561.300000000003</v>
      </c>
      <c r="G5" s="37" t="s">
        <v>57</v>
      </c>
      <c r="H5" s="37">
        <v>4700183581</v>
      </c>
    </row>
    <row r="6" spans="1:8" ht="52.5" x14ac:dyDescent="0.35">
      <c r="A6" s="33" t="s">
        <v>62</v>
      </c>
      <c r="B6" s="34" t="s">
        <v>55</v>
      </c>
      <c r="C6" s="34"/>
      <c r="D6" s="35"/>
      <c r="E6" s="36" t="s">
        <v>63</v>
      </c>
      <c r="F6" s="35">
        <v>76395.3</v>
      </c>
      <c r="G6" s="37" t="s">
        <v>57</v>
      </c>
      <c r="H6" s="34">
        <v>4700182889</v>
      </c>
    </row>
    <row r="7" spans="1:8" ht="52.5" x14ac:dyDescent="0.35">
      <c r="A7" s="33" t="s">
        <v>64</v>
      </c>
      <c r="B7" s="34" t="s">
        <v>65</v>
      </c>
      <c r="C7" s="34">
        <v>372</v>
      </c>
      <c r="D7" s="35">
        <v>491655.75</v>
      </c>
      <c r="E7" s="36" t="s">
        <v>66</v>
      </c>
      <c r="F7" s="35">
        <v>307796</v>
      </c>
      <c r="G7" s="38" t="s">
        <v>67</v>
      </c>
      <c r="H7" s="37">
        <v>4700183168</v>
      </c>
    </row>
    <row r="8" spans="1:8" ht="65.5" x14ac:dyDescent="0.35">
      <c r="A8" s="33" t="s">
        <v>68</v>
      </c>
      <c r="B8" s="34" t="s">
        <v>69</v>
      </c>
      <c r="C8" s="34">
        <v>1657</v>
      </c>
      <c r="D8" s="35">
        <v>1608368.64</v>
      </c>
      <c r="E8" s="36" t="s">
        <v>70</v>
      </c>
      <c r="F8" s="35">
        <v>1608739.36</v>
      </c>
      <c r="G8" s="37" t="s">
        <v>71</v>
      </c>
      <c r="H8" s="37">
        <v>4700183665</v>
      </c>
    </row>
    <row r="9" spans="1:8" ht="52.5" x14ac:dyDescent="0.35">
      <c r="A9" s="33" t="s">
        <v>72</v>
      </c>
      <c r="B9" s="34" t="s">
        <v>73</v>
      </c>
      <c r="C9" s="34">
        <v>68</v>
      </c>
      <c r="D9" s="35">
        <v>63280.800000000003</v>
      </c>
      <c r="E9" s="36" t="s">
        <v>74</v>
      </c>
      <c r="F9" s="35">
        <v>685581.7</v>
      </c>
      <c r="G9" s="37" t="s">
        <v>75</v>
      </c>
      <c r="H9" s="37">
        <v>4700183663</v>
      </c>
    </row>
    <row r="10" spans="1:8" ht="39.5" x14ac:dyDescent="0.35">
      <c r="A10" s="33" t="s">
        <v>76</v>
      </c>
      <c r="B10" s="34" t="s">
        <v>77</v>
      </c>
      <c r="C10" s="34">
        <v>462</v>
      </c>
      <c r="D10" s="34">
        <v>570717.4</v>
      </c>
      <c r="E10" s="34" t="s">
        <v>78</v>
      </c>
      <c r="F10" s="35">
        <v>474194.7</v>
      </c>
      <c r="G10" s="34" t="s">
        <v>79</v>
      </c>
      <c r="H10" s="37">
        <v>4700183542</v>
      </c>
    </row>
    <row r="11" spans="1:8" ht="104.5" x14ac:dyDescent="0.35">
      <c r="A11" s="33" t="s">
        <v>80</v>
      </c>
      <c r="B11" s="34" t="s">
        <v>81</v>
      </c>
      <c r="C11" s="34">
        <v>777</v>
      </c>
      <c r="D11" s="35">
        <v>1278215.24</v>
      </c>
      <c r="E11" s="36" t="s">
        <v>82</v>
      </c>
      <c r="F11" s="35">
        <v>1259237.01</v>
      </c>
      <c r="G11" s="37" t="s">
        <v>83</v>
      </c>
      <c r="H11" s="34">
        <v>4700183801</v>
      </c>
    </row>
    <row r="12" spans="1:8" ht="52.5" x14ac:dyDescent="0.35">
      <c r="A12" s="33" t="s">
        <v>84</v>
      </c>
      <c r="B12" s="34" t="s">
        <v>85</v>
      </c>
      <c r="C12" s="34">
        <v>33</v>
      </c>
      <c r="D12" s="34">
        <v>23760</v>
      </c>
      <c r="E12" s="34" t="s">
        <v>86</v>
      </c>
      <c r="F12" s="35">
        <v>24948</v>
      </c>
      <c r="G12" s="34" t="s">
        <v>83</v>
      </c>
      <c r="H12" s="39" t="s">
        <v>87</v>
      </c>
    </row>
    <row r="13" spans="1:8" ht="65.5" x14ac:dyDescent="0.35">
      <c r="A13" s="33" t="s">
        <v>88</v>
      </c>
      <c r="B13" s="34" t="s">
        <v>89</v>
      </c>
      <c r="C13" s="34">
        <v>260</v>
      </c>
      <c r="D13" s="35">
        <v>455196</v>
      </c>
      <c r="E13" s="36" t="s">
        <v>90</v>
      </c>
      <c r="F13" s="35">
        <v>537876.6</v>
      </c>
      <c r="G13" s="37" t="s">
        <v>91</v>
      </c>
      <c r="H13" s="34">
        <v>4700183909</v>
      </c>
    </row>
    <row r="14" spans="1:8" ht="52.5" x14ac:dyDescent="0.35">
      <c r="A14" s="33" t="s">
        <v>92</v>
      </c>
      <c r="B14" s="34" t="s">
        <v>93</v>
      </c>
      <c r="C14" s="34">
        <v>205</v>
      </c>
      <c r="D14" s="35">
        <v>290634</v>
      </c>
      <c r="E14" s="36" t="s">
        <v>94</v>
      </c>
      <c r="F14" s="35">
        <v>530894.31999999995</v>
      </c>
      <c r="G14" s="37" t="s">
        <v>91</v>
      </c>
      <c r="H14" s="34">
        <v>4700183908</v>
      </c>
    </row>
    <row r="15" spans="1:8" ht="39.5" x14ac:dyDescent="0.35">
      <c r="A15" s="33" t="s">
        <v>95</v>
      </c>
      <c r="B15" s="34" t="s">
        <v>96</v>
      </c>
      <c r="C15" s="34">
        <v>171</v>
      </c>
      <c r="D15" s="35">
        <v>235872</v>
      </c>
      <c r="E15" s="36" t="s">
        <v>97</v>
      </c>
      <c r="F15" s="35"/>
      <c r="G15" s="37" t="s">
        <v>98</v>
      </c>
      <c r="H15" s="37"/>
    </row>
    <row r="16" spans="1:8" ht="65.5" x14ac:dyDescent="0.35">
      <c r="A16" s="33" t="s">
        <v>99</v>
      </c>
      <c r="B16" s="34" t="s">
        <v>100</v>
      </c>
      <c r="C16" s="34">
        <v>800</v>
      </c>
      <c r="D16" s="35">
        <v>1511850</v>
      </c>
      <c r="E16" s="36" t="s">
        <v>101</v>
      </c>
      <c r="F16" s="35">
        <v>1587444</v>
      </c>
      <c r="G16" s="37" t="s">
        <v>102</v>
      </c>
      <c r="H16" s="37">
        <v>4700183655</v>
      </c>
    </row>
    <row r="17" spans="1:9" ht="39.5" x14ac:dyDescent="0.35">
      <c r="A17" s="33" t="s">
        <v>103</v>
      </c>
      <c r="B17" s="34" t="s">
        <v>104</v>
      </c>
      <c r="C17" s="34">
        <v>112</v>
      </c>
      <c r="D17" s="35">
        <v>159042.67000000001</v>
      </c>
      <c r="E17" s="36" t="s">
        <v>105</v>
      </c>
      <c r="F17" s="35">
        <v>33528</v>
      </c>
      <c r="G17" s="37" t="s">
        <v>106</v>
      </c>
      <c r="H17" s="37">
        <v>4700183816</v>
      </c>
    </row>
    <row r="18" spans="1:9" ht="104.5" x14ac:dyDescent="0.35">
      <c r="A18" s="33" t="s">
        <v>107</v>
      </c>
      <c r="B18" s="34" t="s">
        <v>108</v>
      </c>
      <c r="C18" s="34"/>
      <c r="D18" s="35"/>
      <c r="E18" s="36" t="s">
        <v>109</v>
      </c>
      <c r="F18" s="35">
        <v>39523.410000000003</v>
      </c>
      <c r="G18" s="37" t="s">
        <v>57</v>
      </c>
      <c r="H18" s="37">
        <v>4700183580</v>
      </c>
    </row>
    <row r="19" spans="1:9" x14ac:dyDescent="0.35">
      <c r="A19" s="33" t="s">
        <v>110</v>
      </c>
      <c r="B19" s="34" t="s">
        <v>111</v>
      </c>
      <c r="C19" s="34"/>
      <c r="D19" s="35"/>
      <c r="E19" s="34" t="s">
        <v>112</v>
      </c>
      <c r="F19" s="35">
        <v>152880.48000000001</v>
      </c>
      <c r="G19" s="37" t="s">
        <v>57</v>
      </c>
      <c r="H19" s="34">
        <v>4700183588</v>
      </c>
    </row>
    <row r="20" spans="1:9" x14ac:dyDescent="0.35">
      <c r="A20" s="33" t="s">
        <v>113</v>
      </c>
      <c r="B20" s="34" t="s">
        <v>114</v>
      </c>
      <c r="C20" s="34">
        <f>SUM(C2:C18)</f>
        <v>31882</v>
      </c>
      <c r="D20" s="35">
        <f>SUM(D2:D19)</f>
        <v>36523185.5</v>
      </c>
      <c r="E20" s="34"/>
      <c r="F20" s="35">
        <v>23999999.719999999</v>
      </c>
      <c r="G20" s="37"/>
      <c r="H20" s="37">
        <v>4700184062</v>
      </c>
    </row>
    <row r="21" spans="1:9" x14ac:dyDescent="0.35">
      <c r="A21" s="33" t="s">
        <v>115</v>
      </c>
      <c r="B21" s="34" t="s">
        <v>116</v>
      </c>
      <c r="C21" s="34"/>
      <c r="D21" s="35"/>
      <c r="E21" s="34"/>
      <c r="F21" s="35">
        <v>172535</v>
      </c>
      <c r="G21" s="37" t="s">
        <v>91</v>
      </c>
      <c r="H21" s="37">
        <v>4700191873</v>
      </c>
      <c r="I21" t="s">
        <v>117</v>
      </c>
    </row>
    <row r="22" spans="1:9" x14ac:dyDescent="0.35">
      <c r="A22" s="40">
        <v>14524936</v>
      </c>
      <c r="B22" s="41" t="s">
        <v>118</v>
      </c>
      <c r="C22" s="41"/>
      <c r="D22" s="42"/>
      <c r="E22" s="41"/>
      <c r="F22" s="42">
        <v>71350</v>
      </c>
      <c r="G22" s="43" t="s">
        <v>119</v>
      </c>
      <c r="H22" s="43">
        <v>4700186766</v>
      </c>
      <c r="I22" t="s">
        <v>120</v>
      </c>
    </row>
    <row r="23" spans="1:9" x14ac:dyDescent="0.35">
      <c r="F23" s="44"/>
    </row>
    <row r="24" spans="1:9" x14ac:dyDescent="0.35">
      <c r="F24" s="44">
        <f>SUM(F2:F23)</f>
        <v>65091346.099999994</v>
      </c>
    </row>
  </sheetData>
  <hyperlinks>
    <hyperlink ref="G7" r:id="rId1" display="gilper@il.ibm.com" xr:uid="{94EDBF17-CB4C-481C-923D-6D7FCCB7A1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Carmen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Melisa Alejandra Di Tullio</dc:creator>
  <cp:lastModifiedBy>Melisa Alejandra Di Tullio</cp:lastModifiedBy>
  <dcterms:created xsi:type="dcterms:W3CDTF">2021-08-10T14:23:41Z</dcterms:created>
  <dcterms:modified xsi:type="dcterms:W3CDTF">2022-07-28T16:21:56Z</dcterms:modified>
</cp:coreProperties>
</file>